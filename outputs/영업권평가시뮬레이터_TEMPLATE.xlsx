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입력값" sheetId="1" state="visible" r:id="rId1"/>
    <sheet xmlns:r="http://schemas.openxmlformats.org/officeDocument/2006/relationships" name="②초과이익환원법" sheetId="2" state="visible" r:id="rId2"/>
    <sheet xmlns:r="http://schemas.openxmlformats.org/officeDocument/2006/relationships" name="③수익환원법DCF" sheetId="3" state="visible" r:id="rId3"/>
    <sheet xmlns:r="http://schemas.openxmlformats.org/officeDocument/2006/relationships" name="④거래사례비교법" sheetId="4" state="visible" r:id="rId4"/>
    <sheet xmlns:r="http://schemas.openxmlformats.org/officeDocument/2006/relationships" name="⑤잔여접근법" sheetId="5" state="visible" r:id="rId5"/>
    <sheet xmlns:r="http://schemas.openxmlformats.org/officeDocument/2006/relationships" name="⑥비교표_추천" sheetId="6" state="visible" r:id="rId6"/>
    <sheet xmlns:r="http://schemas.openxmlformats.org/officeDocument/2006/relationships" name="⑦4자관점매트릭스" sheetId="7" state="visible" r:id="rId7"/>
    <sheet xmlns:r="http://schemas.openxmlformats.org/officeDocument/2006/relationships" name="⑧시나리오3종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595959"/>
      <sz val="10"/>
    </font>
    <font>
      <i val="1"/>
      <color rgb="00595959"/>
      <sz val="9"/>
    </font>
    <font>
      <color rgb="00C00000"/>
      <sz val="9"/>
    </font>
    <font>
      <b val="1"/>
      <color rgb="001F4E79"/>
    </font>
    <font>
      <b val="1"/>
      <color rgb="00C00000"/>
    </font>
    <font>
      <i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00000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/>
    </xf>
    <xf numFmtId="0" fontId="4" fillId="0" borderId="0" pivotButton="0" quotePrefix="0" xfId="0"/>
    <xf numFmtId="164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4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</cols>
  <sheetData>
    <row r="1" ht="24" customHeight="1">
      <c r="A1" s="1" t="inlineStr">
        <is>
          <t>영업권 평가 — 입력 파라미터 (상증령§59 기준)</t>
        </is>
      </c>
    </row>
    <row r="2">
      <c r="A2" s="2" t="inlineStr">
        <is>
          <t>평가 기준일</t>
        </is>
      </c>
      <c r="B2" t="inlineStr">
        <is>
          <t>2026-05-05</t>
        </is>
      </c>
      <c r="C2" t="inlineStr">
        <is>
          <t>YYYY-MM-DD</t>
        </is>
      </c>
    </row>
    <row r="3">
      <c r="A3" s="2" t="inlineStr">
        <is>
          <t>평가 목적</t>
        </is>
      </c>
      <c r="B3" t="inlineStr">
        <is>
          <t>법인전환</t>
        </is>
      </c>
      <c r="C3" t="inlineStr">
        <is>
          <t>법인전환|M&amp;A|가업승계|상속증여</t>
        </is>
      </c>
    </row>
    <row r="5">
      <c r="A5" s="3" t="inlineStr">
        <is>
          <t>재무 데이터 (최근 3개년 평균)</t>
        </is>
      </c>
    </row>
    <row r="6">
      <c r="A6" t="inlineStr">
        <is>
          <t>최근 3년 평균 순손익 (원)</t>
        </is>
      </c>
      <c r="B6" s="4" t="n">
        <v>500000000</v>
      </c>
      <c r="C6" s="5" t="inlineStr">
        <is>
          <t>당기순이익 평균</t>
        </is>
      </c>
    </row>
    <row r="7">
      <c r="A7" t="inlineStr">
        <is>
          <t>자기자본 시가 (원)</t>
        </is>
      </c>
      <c r="B7" s="4" t="n">
        <v>1500000000</v>
      </c>
      <c r="C7" s="5" t="inlineStr">
        <is>
          <t>자산시가 - 부채시가</t>
        </is>
      </c>
    </row>
    <row r="8">
      <c r="A8" t="inlineStr">
        <is>
          <t>매출액 (원)</t>
        </is>
      </c>
      <c r="B8" s="4" t="n">
        <v>2000000000</v>
      </c>
      <c r="C8" s="5" t="inlineStr">
        <is>
          <t>최근 1개년</t>
        </is>
      </c>
    </row>
    <row r="9">
      <c r="A9" t="inlineStr">
        <is>
          <t>EBITDA 추정 (원)</t>
        </is>
      </c>
      <c r="B9" s="4" t="n">
        <v>600000000</v>
      </c>
      <c r="C9" s="5" t="inlineStr">
        <is>
          <t>순손익 × 1.2 추정</t>
        </is>
      </c>
    </row>
    <row r="10">
      <c r="A10" t="inlineStr">
        <is>
          <t>유형순자산 (원)</t>
        </is>
      </c>
      <c r="B10" s="4" t="n">
        <v>1000000000</v>
      </c>
      <c r="C10" s="5" t="inlineStr">
        <is>
          <t>건물·기계·설비 시가</t>
        </is>
      </c>
    </row>
    <row r="12">
      <c r="A12" s="3" t="inlineStr">
        <is>
          <t>평가 파라미터 (수정 가능)</t>
        </is>
      </c>
    </row>
    <row r="13">
      <c r="A13" t="inlineStr">
        <is>
          <t>환원율 (초과이익환원법·§59)</t>
        </is>
      </c>
      <c r="B13" s="6" t="n">
        <v>0.06</v>
      </c>
      <c r="C13" s="5" t="inlineStr">
        <is>
          <t>일반: 5~7%</t>
        </is>
      </c>
    </row>
    <row r="14">
      <c r="A14" t="inlineStr">
        <is>
          <t>자본환원율 (정상수익률·§54)</t>
        </is>
      </c>
      <c r="B14" s="6" t="n">
        <v>0.1</v>
      </c>
      <c r="C14" s="5" t="inlineStr">
        <is>
          <t>법령 고정: 10%</t>
        </is>
      </c>
    </row>
    <row r="15">
      <c r="A15" t="inlineStr">
        <is>
          <t>할인율 WACC (수익환원법)</t>
        </is>
      </c>
      <c r="B15" s="6" t="n">
        <v>0.06</v>
      </c>
      <c r="C15" s="5" t="inlineStr">
        <is>
          <t>WACC: 5~8%</t>
        </is>
      </c>
    </row>
    <row r="16">
      <c r="A16" t="inlineStr">
        <is>
          <t>연간 성장률 가정 (DCF)</t>
        </is>
      </c>
      <c r="B16" s="6" t="n">
        <v>0.03</v>
      </c>
      <c r="C16" s="5" t="inlineStr">
        <is>
          <t>3~5%</t>
        </is>
      </c>
    </row>
    <row r="17">
      <c r="A17" t="inlineStr">
        <is>
          <t>EV/EBITDA 멀티플 (거래사례)</t>
        </is>
      </c>
      <c r="B17" s="7" t="n">
        <v>5</v>
      </c>
      <c r="C17" s="5" t="inlineStr">
        <is>
          <t>업종별 2~10배</t>
        </is>
      </c>
    </row>
    <row r="18">
      <c r="A18" t="inlineStr">
        <is>
          <t>P/E 멀티플 (거래사례)</t>
        </is>
      </c>
      <c r="B18" s="7" t="n">
        <v>10</v>
      </c>
      <c r="C18" s="5" t="inlineStr">
        <is>
          <t>업종별 5~20배</t>
        </is>
      </c>
    </row>
    <row r="19">
      <c r="A19" t="inlineStr">
        <is>
          <t>DCF 예측 기간 (수익환원법)</t>
        </is>
      </c>
      <c r="B19" s="7" t="n">
        <v>5</v>
      </c>
      <c r="C19" s="5" t="inlineStr">
        <is>
          <t>5~10년</t>
        </is>
      </c>
    </row>
    <row r="21">
      <c r="A21" s="8" t="inlineStr">
        <is>
          <t>※ 법령 기준: 상증법§64·상증령§59·§54·법§52·소§94·조특§32</t>
        </is>
      </c>
    </row>
  </sheetData>
  <mergeCells count="3">
    <mergeCell ref="A1:C1"/>
    <mergeCell ref="A12:C12"/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</cols>
  <sheetData>
    <row r="1">
      <c r="A1" s="1" t="inlineStr">
        <is>
          <t>초과이익환원법 (상증령§59) — 법인전환·가업승계·상속증여 표준</t>
        </is>
      </c>
    </row>
    <row r="2">
      <c r="A2" s="9" t="inlineStr">
        <is>
          <t>STEP 1. 정상 순이익 산정</t>
        </is>
      </c>
    </row>
    <row r="3">
      <c r="A3" t="inlineStr">
        <is>
          <t xml:space="preserve">  자기자본 시가 (원)</t>
        </is>
      </c>
      <c r="B3" s="10">
        <f>①입력값!B7</f>
        <v/>
      </c>
    </row>
    <row r="4">
      <c r="A4" t="inlineStr">
        <is>
          <t xml:space="preserve">  자본환원율 (§54)</t>
        </is>
      </c>
      <c r="B4" s="10">
        <f>①입력값!B14</f>
        <v/>
      </c>
    </row>
    <row r="5">
      <c r="A5" t="inlineStr">
        <is>
          <t xml:space="preserve">  정상 순이익 = 자기자본 × 자본환원율</t>
        </is>
      </c>
      <c r="B5" s="10">
        <f>B4*B5</f>
        <v/>
      </c>
    </row>
    <row r="6">
      <c r="A6" s="9" t="inlineStr">
        <is>
          <t>STEP 2. 초과이익 산정</t>
        </is>
      </c>
    </row>
    <row r="7">
      <c r="A7" t="inlineStr">
        <is>
          <t xml:space="preserve">  최근 3년 평균 순손익 (원)</t>
        </is>
      </c>
      <c r="B7" s="10">
        <f>①입력값!B6</f>
        <v/>
      </c>
    </row>
    <row r="8">
      <c r="A8" t="inlineStr">
        <is>
          <t xml:space="preserve">  초과이익 = 순손익 - 정상순이익 (원)</t>
        </is>
      </c>
      <c r="B8" s="10">
        <f>MAX(0,B8-B6)</f>
        <v/>
      </c>
    </row>
    <row r="9">
      <c r="A9" s="9" t="inlineStr">
        <is>
          <t>STEP 3. 환원계수 산정</t>
        </is>
      </c>
    </row>
    <row r="10">
      <c r="A10" t="inlineStr">
        <is>
          <t xml:space="preserve">  환원율</t>
        </is>
      </c>
      <c r="B10" s="10">
        <f>①입력값!B13</f>
        <v/>
      </c>
    </row>
    <row r="11">
      <c r="A11" t="inlineStr">
        <is>
          <t xml:space="preserve">  환원계수 = 1 / 환원율</t>
        </is>
      </c>
      <c r="B11" s="10">
        <f>IFERROR(1/B11,0)</f>
        <v/>
      </c>
    </row>
    <row r="12">
      <c r="A12" s="9" t="inlineStr">
        <is>
          <t>STEP 4. 영업권 산출</t>
        </is>
      </c>
    </row>
    <row r="13">
      <c r="A13" s="11" t="inlineStr">
        <is>
          <t xml:space="preserve">  ★ 영업권 = 초과이익 × 환원계수 (원)</t>
        </is>
      </c>
      <c r="B13" s="10">
        <f>B9*B12</f>
        <v/>
      </c>
    </row>
    <row r="14">
      <c r="A14" t="inlineStr">
        <is>
          <t xml:space="preserve">  5년 균등상각 (연 손금)</t>
        </is>
      </c>
      <c r="B14" s="10">
        <f>B14/5</f>
        <v/>
      </c>
    </row>
    <row r="15">
      <c r="A15" t="inlineStr">
        <is>
          <t xml:space="preserve">  양도소득세 추정 (소§94·22%)</t>
        </is>
      </c>
      <c r="B15" s="10">
        <f>B14*0.22</f>
        <v/>
      </c>
    </row>
    <row r="18">
      <c r="A18" s="8" t="inlineStr">
        <is>
          <t>법령 근거: 상증령§59, §54 / 소득세법§94 ①4 / 조특§32 / 법§24·법시§35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수익환원법 (DCF) — M&amp;A · 수익성 기업 평가</t>
        </is>
      </c>
    </row>
    <row r="2">
      <c r="A2" t="inlineStr">
        <is>
          <t>구분</t>
        </is>
      </c>
      <c r="B2" s="2" t="inlineStr">
        <is>
          <t>1년차</t>
        </is>
      </c>
      <c r="C2" s="2" t="inlineStr">
        <is>
          <t>2년차</t>
        </is>
      </c>
      <c r="D2" s="2" t="inlineStr">
        <is>
          <t>3년차</t>
        </is>
      </c>
      <c r="E2" s="2" t="inlineStr">
        <is>
          <t>4년차</t>
        </is>
      </c>
      <c r="F2" s="2" t="inlineStr">
        <is>
          <t>5년차</t>
        </is>
      </c>
      <c r="G2" s="11" t="inlineStr">
        <is>
          <t>잔존가치</t>
        </is>
      </c>
      <c r="H2" s="11" t="inlineStr">
        <is>
          <t>합계 영업권</t>
        </is>
      </c>
    </row>
    <row r="3">
      <c r="A3" t="inlineStr">
        <is>
          <t>초과이익 (성장 반영)</t>
        </is>
      </c>
    </row>
    <row r="4">
      <c r="A4" t="inlineStr">
        <is>
          <t>현가계수 (1/(1+r)^n)</t>
        </is>
      </c>
    </row>
    <row r="5">
      <c r="A5" t="inlineStr">
        <is>
          <t>현재가치</t>
        </is>
      </c>
    </row>
    <row r="6">
      <c r="A6" s="12" t="inlineStr">
        <is>
          <t>잔존가치 (고든성장)</t>
        </is>
      </c>
    </row>
    <row r="7">
      <c r="A7" s="11" t="inlineStr">
        <is>
          <t>★ DCF 영업권 합계</t>
        </is>
      </c>
    </row>
    <row r="10">
      <c r="A10" t="inlineStr">
        <is>
          <t>할인율 (WACC) 참조</t>
        </is>
      </c>
      <c r="B10">
        <f>①입력값!B15</f>
        <v/>
      </c>
    </row>
    <row r="11">
      <c r="A11" t="inlineStr">
        <is>
          <t>연간 성장률</t>
        </is>
      </c>
      <c r="B11">
        <f>①입력값!B16</f>
        <v/>
      </c>
    </row>
    <row r="12">
      <c r="A12" s="8" t="inlineStr">
        <is>
          <t>법령 근거: DCF + 상증령§59 병용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</cols>
  <sheetData>
    <row r="1">
      <c r="A1" s="1" t="inlineStr">
        <is>
          <t>거래사례비교법 — 동종업종 EV/EBITDA · P/E 멀티플</t>
        </is>
      </c>
    </row>
    <row r="2">
      <c r="A2" s="9" t="inlineStr">
        <is>
          <t>EV/EBITDA 방식</t>
        </is>
      </c>
    </row>
    <row r="3">
      <c r="A3" t="inlineStr">
        <is>
          <t xml:space="preserve">  EBITDA (원)</t>
        </is>
      </c>
      <c r="B3" s="10">
        <f>①입력값!B9</f>
        <v/>
      </c>
    </row>
    <row r="4">
      <c r="A4" t="inlineStr">
        <is>
          <t xml:space="preserve">  EV/EBITDA 멀티플</t>
        </is>
      </c>
      <c r="B4" s="10">
        <f>①입력값!B17</f>
        <v/>
      </c>
    </row>
    <row r="5">
      <c r="A5" t="inlineStr">
        <is>
          <t xml:space="preserve">  기업가치(EV) = EBITDA × 멀티플</t>
        </is>
      </c>
      <c r="B5" s="10">
        <f>B4*B5</f>
        <v/>
      </c>
    </row>
    <row r="6">
      <c r="A6" t="inlineStr">
        <is>
          <t xml:space="preserve">  유형순자산 (원)</t>
        </is>
      </c>
      <c r="B6" s="10">
        <f>①입력값!B10</f>
        <v/>
      </c>
    </row>
    <row r="7">
      <c r="A7" t="inlineStr">
        <is>
          <t xml:space="preserve">  영업권 = EV - 유형순자산</t>
        </is>
      </c>
      <c r="B7" s="10">
        <f>MAX(0,B6-B7)</f>
        <v/>
      </c>
    </row>
    <row r="8">
      <c r="A8" s="9" t="inlineStr">
        <is>
          <t>P/E 방식</t>
        </is>
      </c>
    </row>
    <row r="9">
      <c r="A9" t="inlineStr">
        <is>
          <t xml:space="preserve">  평균 순손익 (원)</t>
        </is>
      </c>
      <c r="B9" s="10">
        <f>①입력값!B6</f>
        <v/>
      </c>
    </row>
    <row r="10">
      <c r="A10" t="inlineStr">
        <is>
          <t xml:space="preserve">  P/E 멀티플</t>
        </is>
      </c>
      <c r="B10" s="10">
        <f>①입력값!B18</f>
        <v/>
      </c>
    </row>
    <row r="11">
      <c r="A11" t="inlineStr">
        <is>
          <t xml:space="preserve">  주식가치 = 순손익 × P/E</t>
        </is>
      </c>
      <c r="B11" s="10">
        <f>B10*B11</f>
        <v/>
      </c>
    </row>
    <row r="12">
      <c r="A12" t="inlineStr">
        <is>
          <t xml:space="preserve">  영업권 = 주식가치 - 유형순자산</t>
        </is>
      </c>
      <c r="B12" s="10">
        <f>MAX(0,B12-B7)</f>
        <v/>
      </c>
    </row>
    <row r="13">
      <c r="A13" s="11" t="inlineStr">
        <is>
          <t>★ 평균 영업권 = (EV/EBITDA + P/E) / 2</t>
        </is>
      </c>
      <c r="B13" s="10">
        <f>(B8+B13)/2</f>
        <v/>
      </c>
    </row>
    <row r="14">
      <c r="A14" s="11" t="inlineStr">
        <is>
          <t>법령 근거: 시가 참고 (법§52) + DART 동종업종 비교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잔여접근법 — 총사업가치 - 식별가능 유형순자산</t>
        </is>
      </c>
    </row>
    <row r="2">
      <c r="A2" t="inlineStr">
        <is>
          <t>총사업가치 (수익환원법 활용·원)</t>
        </is>
      </c>
      <c r="B2" s="10">
        <f>③수익환원법DCF!B7</f>
        <v/>
      </c>
    </row>
    <row r="3">
      <c r="A3" t="inlineStr">
        <is>
          <t>식별가능 유형순자산 (원)</t>
        </is>
      </c>
      <c r="B3" s="10">
        <f>①입력값!B10</f>
        <v/>
      </c>
    </row>
    <row r="4">
      <c r="A4" s="11" t="inlineStr">
        <is>
          <t>★ 영업권 = 총사업가치 - 유형순자산 (원)</t>
        </is>
      </c>
      <c r="B4" s="10">
        <f>MAX(0,B3-B4)</f>
        <v/>
      </c>
    </row>
    <row r="5">
      <c r="A5" t="inlineStr">
        <is>
          <t>법령 근거: K-IFRS 1103 사업결합 + 법§52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30" customWidth="1" min="4" max="4"/>
  </cols>
  <sheetData>
    <row r="1">
      <c r="A1" s="1" t="inlineStr">
        <is>
          <t>4가지 평가법 비교 + 케이스별 추천</t>
        </is>
      </c>
    </row>
    <row r="2">
      <c r="A2" s="3" t="inlineStr">
        <is>
          <t>평가법</t>
        </is>
      </c>
      <c r="B2" s="3" t="inlineStr">
        <is>
          <t>영업권 산출액 (원)</t>
        </is>
      </c>
      <c r="C2" s="3" t="inlineStr">
        <is>
          <t>법령 근거</t>
        </is>
      </c>
      <c r="D2" s="3" t="inlineStr">
        <is>
          <t>적용 케이스</t>
        </is>
      </c>
    </row>
    <row r="3">
      <c r="A3" t="inlineStr">
        <is>
          <t>초과이익환원법</t>
        </is>
      </c>
      <c r="B3" s="13">
        <f>②초과이익환원법!B14</f>
        <v/>
      </c>
      <c r="C3" t="inlineStr">
        <is>
          <t>상증령§59·§54</t>
        </is>
      </c>
      <c r="D3" t="inlineStr">
        <is>
          <t>법인전환·가업승계·상속증여 ★표준</t>
        </is>
      </c>
    </row>
    <row r="4">
      <c r="A4" t="inlineStr">
        <is>
          <t>수익환원법(DCF)</t>
        </is>
      </c>
      <c r="B4" s="13">
        <f>③수익환원법DCF!B7</f>
        <v/>
      </c>
      <c r="C4" t="inlineStr">
        <is>
          <t>DCF·WACC</t>
        </is>
      </c>
      <c r="D4" t="inlineStr">
        <is>
          <t>M&amp;A·투자 가치 산정</t>
        </is>
      </c>
    </row>
    <row r="5">
      <c r="A5" t="inlineStr">
        <is>
          <t>거래사례비교법</t>
        </is>
      </c>
      <c r="B5" s="13">
        <f>④거래사례비교법!B14</f>
        <v/>
      </c>
      <c r="C5" t="inlineStr">
        <is>
          <t>법§52 시가 참고</t>
        </is>
      </c>
      <c r="D5" t="inlineStr">
        <is>
          <t>분쟁조정·객관적 시장가</t>
        </is>
      </c>
    </row>
    <row r="6">
      <c r="A6" t="inlineStr">
        <is>
          <t>잔여접근법</t>
        </is>
      </c>
      <c r="B6" s="13">
        <f>⑤잔여접근법!B4</f>
        <v/>
      </c>
      <c r="C6" t="inlineStr">
        <is>
          <t>K-IFRS 1103</t>
        </is>
      </c>
      <c r="D6" t="inlineStr">
        <is>
          <t>총사업가치 기반 담보평가</t>
        </is>
      </c>
    </row>
    <row r="8">
      <c r="A8" s="11" t="inlineStr">
        <is>
          <t>★ 케이스별 추천</t>
        </is>
      </c>
    </row>
    <row r="9">
      <c r="A9" t="inlineStr">
        <is>
          <t>법인전환</t>
        </is>
      </c>
      <c r="B9" s="9" t="inlineStr">
        <is>
          <t>초과이익환원법</t>
        </is>
      </c>
      <c r="D9" t="inlineStr">
        <is>
          <t>세무서 인정도 최고 (상증령§59)</t>
        </is>
      </c>
    </row>
    <row r="10">
      <c r="A10" t="inlineStr">
        <is>
          <t>가업승계·상속증여</t>
        </is>
      </c>
      <c r="B10" s="9" t="inlineStr">
        <is>
          <t>초과이익환원법</t>
        </is>
      </c>
      <c r="D10" t="inlineStr">
        <is>
          <t>상증법§64 강제 적용</t>
        </is>
      </c>
    </row>
    <row r="11">
      <c r="A11" t="inlineStr">
        <is>
          <t>M&amp;A·인수합병</t>
        </is>
      </c>
      <c r="B11" s="9" t="inlineStr">
        <is>
          <t>수익환원법+거래사례 평균</t>
        </is>
      </c>
      <c r="D11" t="inlineStr">
        <is>
          <t>수익 창출 능력 중심</t>
        </is>
      </c>
    </row>
    <row r="12">
      <c r="A12" t="inlineStr">
        <is>
          <t>담보·신용평가</t>
        </is>
      </c>
      <c r="B12" s="9" t="inlineStr">
        <is>
          <t>잔여접근법</t>
        </is>
      </c>
      <c r="D12" t="inlineStr">
        <is>
          <t>유형자산 제외 무형가치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4자관점(법인·양도자·과세관청·금융기관) × 3시점(Pre·Now·Post) 12셀</t>
        </is>
      </c>
    </row>
    <row r="2">
      <c r="A2" s="3" t="inlineStr">
        <is>
          <t>관점</t>
        </is>
      </c>
      <c r="B2" s="3" t="inlineStr">
        <is>
          <t>사전 (Pre)</t>
        </is>
      </c>
      <c r="C2" s="3" t="inlineStr">
        <is>
          <t>현재 (Now)</t>
        </is>
      </c>
      <c r="D2" s="3" t="inlineStr">
        <is>
          <t>사후 (Post)</t>
        </is>
      </c>
    </row>
    <row r="3">
      <c r="A3" s="14" t="inlineStr">
        <is>
          <t>법인</t>
        </is>
      </c>
      <c r="B3" s="15" t="inlineStr">
        <is>
          <t>재무 데이터 정합·평가 기준일 확정</t>
        </is>
      </c>
      <c r="C3" s="15" t="inlineStr">
        <is>
          <t>영업권 자산 인식·취득가액 기장</t>
        </is>
      </c>
      <c r="D3" s="15" t="inlineStr">
        <is>
          <t>5년 균등상각 (연 손금)·손상 분기 점검</t>
        </is>
      </c>
    </row>
    <row r="4">
      <c r="A4" s="14" t="inlineStr">
        <is>
          <t>양도자(개인)</t>
        </is>
      </c>
      <c r="B4" s="15" t="inlineStr">
        <is>
          <t>영업권 가액 협상·평가법 검토</t>
        </is>
      </c>
      <c r="C4" s="15" t="inlineStr">
        <is>
          <t>양도소득 확정·세금 납부 or 이월과세</t>
        </is>
      </c>
      <c r="D4" s="15" t="inlineStr">
        <is>
          <t>이월과세 5년 추적·경정청구 가능성</t>
        </is>
      </c>
    </row>
    <row r="5">
      <c r="A5" s="14" t="inlineStr">
        <is>
          <t>과세관청</t>
        </is>
      </c>
      <c r="B5" s="15" t="inlineStr">
        <is>
          <t>상증령§59 산식 사전심사·시가 기준</t>
        </is>
      </c>
      <c r="C5" s="15" t="inlineStr">
        <is>
          <t>평가 적정성 검토·법§52 시가 검증</t>
        </is>
      </c>
      <c r="D5" s="15" t="inlineStr">
        <is>
          <t>세무조사·추징 가능성·경정청구 처리</t>
        </is>
      </c>
    </row>
    <row r="6" ht="48" customHeight="1">
      <c r="A6" s="14" t="inlineStr">
        <is>
          <t>금융기관</t>
        </is>
      </c>
      <c r="B6" s="15" t="inlineStr">
        <is>
          <t>영업권 담보가치 인정 여부 협의</t>
        </is>
      </c>
      <c r="C6" s="15" t="inlineStr">
        <is>
          <t>영업권 반영 자기자본비율 재산정</t>
        </is>
      </c>
      <c r="D6" s="15" t="inlineStr">
        <is>
          <t>상각 후 재평가·여신 갱신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시나리오 3종 (초과이익환원법 기준 — 환원율·정상수익률 변동)</t>
        </is>
      </c>
    </row>
    <row r="2">
      <c r="A2" s="3" t="inlineStr">
        <is>
          <t>항목</t>
        </is>
      </c>
      <c r="B2" s="16" t="inlineStr">
        <is>
          <t>보수 시나리오</t>
        </is>
      </c>
      <c r="C2" s="1" t="inlineStr">
        <is>
          <t>중립 시나리오</t>
        </is>
      </c>
      <c r="D2" s="17" t="inlineStr">
        <is>
          <t>낙관 시나리오</t>
        </is>
      </c>
    </row>
    <row r="3">
      <c r="A3" t="inlineStr">
        <is>
          <t>환원율</t>
        </is>
      </c>
      <c r="B3" s="6" t="n">
        <v>0.07000000000000001</v>
      </c>
      <c r="C3" s="6" t="n">
        <v>0.06</v>
      </c>
      <c r="D3" s="6" t="n">
        <v>0.05</v>
      </c>
    </row>
    <row r="4">
      <c r="A4" t="inlineStr">
        <is>
          <t>정상수익률 (§54)</t>
        </is>
      </c>
      <c r="B4" s="6" t="n">
        <v>0.12</v>
      </c>
      <c r="C4" s="6" t="n">
        <v>0.1</v>
      </c>
      <c r="D4" s="6" t="n">
        <v>0.08</v>
      </c>
    </row>
    <row r="5">
      <c r="A5" t="inlineStr">
        <is>
          <t>자기자본 (원)</t>
        </is>
      </c>
      <c r="B5" s="4">
        <f>①입력값!B7</f>
        <v/>
      </c>
      <c r="C5" s="4">
        <f>①입력값!B7</f>
        <v/>
      </c>
      <c r="D5" s="4">
        <f>①입력값!B7</f>
        <v/>
      </c>
    </row>
    <row r="6">
      <c r="A6" t="inlineStr">
        <is>
          <t>정상순이익 (원)</t>
        </is>
      </c>
      <c r="B6" s="4">
        <f>D4*B4</f>
        <v/>
      </c>
      <c r="C6" s="4">
        <f>D4*C4</f>
        <v/>
      </c>
      <c r="D6" s="4">
        <f>D4*D4</f>
        <v/>
      </c>
    </row>
    <row r="7">
      <c r="A7" t="inlineStr">
        <is>
          <t>평균순손익 (원)</t>
        </is>
      </c>
      <c r="B7" s="4">
        <f>①입력값!B6</f>
        <v/>
      </c>
      <c r="C7" s="4">
        <f>①입력값!B6</f>
        <v/>
      </c>
      <c r="D7" s="4">
        <f>①입력값!B6</f>
        <v/>
      </c>
    </row>
    <row r="8">
      <c r="A8" t="inlineStr">
        <is>
          <t>초과이익 (원)</t>
        </is>
      </c>
      <c r="B8" s="4">
        <f>MAX(0,B7-B6)</f>
        <v/>
      </c>
      <c r="C8" s="4">
        <f>MAX(0,C7-C6)</f>
        <v/>
      </c>
      <c r="D8" s="4">
        <f>MAX(0,D7-D6)</f>
        <v/>
      </c>
    </row>
    <row r="9">
      <c r="A9" t="inlineStr">
        <is>
          <t>환원계수</t>
        </is>
      </c>
      <c r="B9" s="4">
        <f>IFERROR(1/B3,0)</f>
        <v/>
      </c>
      <c r="C9" s="4">
        <f>IFERROR(1/C3,0)</f>
        <v/>
      </c>
      <c r="D9" s="4">
        <f>IFERROR(1/D3,0)</f>
        <v/>
      </c>
    </row>
    <row r="10">
      <c r="A10" s="11" t="inlineStr">
        <is>
          <t>★ 영업권 (원)</t>
        </is>
      </c>
      <c r="B10" s="4">
        <f>B8*B9</f>
        <v/>
      </c>
      <c r="C10" s="4">
        <f>C8*C9</f>
        <v/>
      </c>
      <c r="D10" s="4">
        <f>D8*D9</f>
        <v/>
      </c>
    </row>
    <row r="11">
      <c r="A11" t="inlineStr">
        <is>
          <t>5년 상각 (연, 원)</t>
        </is>
      </c>
      <c r="B11" s="4">
        <f>B10/5</f>
        <v/>
      </c>
      <c r="C11" s="4">
        <f>C10/5</f>
        <v/>
      </c>
      <c r="D11" s="4">
        <f>D10/5</f>
        <v/>
      </c>
    </row>
    <row r="12">
      <c r="A12" t="inlineStr">
        <is>
          <t>양도소득세 추정 (원)</t>
        </is>
      </c>
      <c r="B12" s="4">
        <f>B10*0.22</f>
        <v/>
      </c>
      <c r="C12" s="4">
        <f>C10*0.22</f>
        <v/>
      </c>
      <c r="D12" s="4">
        <f>D10*0.22</f>
        <v/>
      </c>
    </row>
    <row r="15">
      <c r="A15" s="8" t="inlineStr">
        <is>
          <t>법령: 상증령§59·§54 / 소§94 / 조특§32 / 법§24·법시§35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2026-05-05T02:00:15Z</dcterms:created>
  <dcterms:modified xmlns:dcterms="http://purl.org/dc/terms/" xmlns:xsi="http://www.w3.org/2001/XMLSchema-instance" xsi:type="dcterms:W3CDTF">2026-05-05T02:00:15Z</dcterms:modified>
</cp:coreProperties>
</file>